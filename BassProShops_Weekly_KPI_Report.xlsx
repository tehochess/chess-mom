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Dashboard" sheetId="1" state="visible" r:id="rId3"/>
    <sheet name="4-Week Trend" sheetId="2" state="visible" r:id="rId4"/>
    <sheet name="Top Categories" sheetId="3" state="visible" r:id="rId5"/>
    <sheet name="Issues &amp; Actions" sheetId="4" state="visible" r:id="rId6"/>
    <sheet name="Data for Pyth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<sst xmlns="http://schemas.openxmlformats.org/spreadsheetml/2006/main" count="152" uniqueCount="128">
  <si>
    <t xml:space="preserve">🎣  BASS PRO SHOPS — WEEKLY PERFORMANCE DASHBOARD</t>
  </si>
  <si>
    <t xml:space="preserve">Week Ending: March 16, 2026   |   Region: All U.S. Stores   |   Prepared by: Business Intelligence Team</t>
  </si>
  <si>
    <t xml:space="preserve">SALES PERFORMANCE</t>
  </si>
  <si>
    <t xml:space="preserve">KPI</t>
  </si>
  <si>
    <t xml:space="preserve">This Week</t>
  </si>
  <si>
    <t xml:space="preserve">Last Week</t>
  </si>
  <si>
    <t xml:space="preserve">Target</t>
  </si>
  <si>
    <t xml:space="preserve">Vs. Target</t>
  </si>
  <si>
    <t xml:space="preserve">Trend</t>
  </si>
  <si>
    <t xml:space="preserve">Total Net Revenue ($)</t>
  </si>
  <si>
    <t xml:space="preserve">In-Store Revenue ($)</t>
  </si>
  <si>
    <t xml:space="preserve">Online / E-Commerce ($)</t>
  </si>
  <si>
    <t xml:space="preserve">Catalog / Phone Orders ($)</t>
  </si>
  <si>
    <t xml:space="preserve">Avg. Transaction Value ($)</t>
  </si>
  <si>
    <t xml:space="preserve">Total Transactions (#)</t>
  </si>
  <si>
    <t xml:space="preserve">CUSTOMER &amp; LOYALTY</t>
  </si>
  <si>
    <t xml:space="preserve">Active Bass Pro Club Members (#)</t>
  </si>
  <si>
    <t xml:space="preserve">New Members This Week (#)</t>
  </si>
  <si>
    <t xml:space="preserve">Member Redemptions (#)</t>
  </si>
  <si>
    <t xml:space="preserve">Customer Satisfaction Score (1-10)</t>
  </si>
  <si>
    <t xml:space="preserve">Net Promoter Score (NPS)</t>
  </si>
  <si>
    <t xml:space="preserve">Loyalty Revenue % of Total</t>
  </si>
  <si>
    <t xml:space="preserve">INVENTORY &amp; SUPPLY CHAIN</t>
  </si>
  <si>
    <t xml:space="preserve">Total SKUs In-Stock (#)</t>
  </si>
  <si>
    <t xml:space="preserve">Out-of-Stock Rate (%)</t>
  </si>
  <si>
    <t xml:space="preserve">Inventory Turnover (x/wk)</t>
  </si>
  <si>
    <t xml:space="preserve">Supplier On-Time Delivery (%)</t>
  </si>
  <si>
    <t xml:space="preserve">Pending Replenishment Orders (#)</t>
  </si>
  <si>
    <t xml:space="preserve">Shrinkage / Loss ($)</t>
  </si>
  <si>
    <t xml:space="preserve">Source: POS System (SAP Retail), Loyalty CRM, WMS Warehouse System  |  Data refreshed: Every Monday 06:00 CT</t>
  </si>
  <si>
    <t xml:space="preserve">🎣  BASS PRO SHOPS — 4-WEEK ROLLING TREND</t>
  </si>
  <si>
    <t xml:space="preserve">Metric</t>
  </si>
  <si>
    <t xml:space="preserve">Wk of Feb 23</t>
  </si>
  <si>
    <t xml:space="preserve">Wk of Mar 02</t>
  </si>
  <si>
    <t xml:space="preserve">Wk of Mar 09</t>
  </si>
  <si>
    <t xml:space="preserve">Wk of Mar 16</t>
  </si>
  <si>
    <t xml:space="preserve">4-Wk Δ</t>
  </si>
  <si>
    <t xml:space="preserve">── SALES</t>
  </si>
  <si>
    <t xml:space="preserve">Net Revenue ($)</t>
  </si>
  <si>
    <t xml:space="preserve">Online Revenue ($)</t>
  </si>
  <si>
    <t xml:space="preserve">Avg Transaction Value ($)</t>
  </si>
  <si>
    <t xml:space="preserve">── CUSTOMERS</t>
  </si>
  <si>
    <t xml:space="preserve">New Loyalty Members (#)</t>
  </si>
  <si>
    <t xml:space="preserve">CSAT Score (1-10)</t>
  </si>
  <si>
    <t xml:space="preserve">NPS</t>
  </si>
  <si>
    <t xml:space="preserve">── OPERATIONS</t>
  </si>
  <si>
    <t xml:space="preserve">In-Stock Rate (%)</t>
  </si>
  <si>
    <t xml:space="preserve">On-Time Delivery (%)</t>
  </si>
  <si>
    <t xml:space="preserve">Shrinkage ($)</t>
  </si>
  <si>
    <t xml:space="preserve">🎣  BASS PRO SHOPS — WEEKLY CATEGORY PERFORMANCE</t>
  </si>
  <si>
    <t xml:space="preserve">Category</t>
  </si>
  <si>
    <t xml:space="preserve">Revenue ($)</t>
  </si>
  <si>
    <t xml:space="preserve">Units Sold</t>
  </si>
  <si>
    <t xml:space="preserve">Margin %</t>
  </si>
  <si>
    <t xml:space="preserve">Vs. Last Wk</t>
  </si>
  <si>
    <t xml:space="preserve">Fishing — Rods &amp; Reels</t>
  </si>
  <si>
    <t xml:space="preserve">Fishing — Tackle &amp; Bait</t>
  </si>
  <si>
    <t xml:space="preserve">Hunting — Firearms &amp; Ammo</t>
  </si>
  <si>
    <t xml:space="preserve">Hunting — Apparel &amp; Camo</t>
  </si>
  <si>
    <t xml:space="preserve">Boating — Accessories</t>
  </si>
  <si>
    <t xml:space="preserve">Outdoor Cooking &amp; Camping</t>
  </si>
  <si>
    <t xml:space="preserve">Footwear — Waders &amp; Boots</t>
  </si>
  <si>
    <t xml:space="preserve">Archery</t>
  </si>
  <si>
    <t xml:space="preserve">Optics &amp; Electronics</t>
  </si>
  <si>
    <t xml:space="preserve">Gift Cards &amp; Misc.</t>
  </si>
  <si>
    <t xml:space="preserve">TOTAL (All Categories)</t>
  </si>
  <si>
    <t xml:space="preserve">🎣  BASS PRO SHOPS — OPEN ISSUES &amp; ACTION REGISTER</t>
  </si>
  <si>
    <t xml:space="preserve">Area</t>
  </si>
  <si>
    <t xml:space="preserve">Issue / Risk</t>
  </si>
  <si>
    <t xml:space="preserve">Owner</t>
  </si>
  <si>
    <t xml:space="preserve">Due Date</t>
  </si>
  <si>
    <t xml:space="preserve">Status</t>
  </si>
  <si>
    <t xml:space="preserve">Sales</t>
  </si>
  <si>
    <t xml:space="preserve">Online checkout abandonment rate +4.2pp vs last week — suspected UX regression after Tuesday deploy</t>
  </si>
  <si>
    <t xml:space="preserve">E. Turner (Digital)</t>
  </si>
  <si>
    <t xml:space="preserve">Mar 19, 2026</t>
  </si>
  <si>
    <t xml:space="preserve">🔴 Critical</t>
  </si>
  <si>
    <t xml:space="preserve">Inventory</t>
  </si>
  <si>
    <t xml:space="preserve">Smallmouth bass lures (SKU 8812-series) out-of-stock across 14 stores; peak season demand spike</t>
  </si>
  <si>
    <t xml:space="preserve">M. Holloway (Supply)</t>
  </si>
  <si>
    <t xml:space="preserve">Mar 20, 2026</t>
  </si>
  <si>
    <t xml:space="preserve">🟠 High</t>
  </si>
  <si>
    <t xml:space="preserve">Loyalty</t>
  </si>
  <si>
    <t xml:space="preserve">CSAT 0.2pts below target — spike in complaints re: in-store checkout wait times, Southeast region</t>
  </si>
  <si>
    <t xml:space="preserve">R. Patel (Ops)</t>
  </si>
  <si>
    <t xml:space="preserve">Mar 21, 2026</t>
  </si>
  <si>
    <t xml:space="preserve">Staffing</t>
  </si>
  <si>
    <t xml:space="preserve">Weekend floor coverage gap at 6 stores (TX, FL) — spring season hiring not yet complete</t>
  </si>
  <si>
    <t xml:space="preserve">D. Kim (HR)</t>
  </si>
  <si>
    <t xml:space="preserve">Mar 22, 2026</t>
  </si>
  <si>
    <t xml:space="preserve">🟡 Medium</t>
  </si>
  <si>
    <t xml:space="preserve">Marketing</t>
  </si>
  <si>
    <t xml:space="preserve">Spring Fishing Classic email campaign: open rate 18.3% vs 24% benchmark — subject line A/B test needed</t>
  </si>
  <si>
    <t xml:space="preserve">A. Brooks (Marketing)</t>
  </si>
  <si>
    <t xml:space="preserve">Mar 23, 2026</t>
  </si>
  <si>
    <t xml:space="preserve">Finance</t>
  </si>
  <si>
    <t xml:space="preserve">Shrinkage $3.4K above target — loss prevention audit scheduled for 3 stores</t>
  </si>
  <si>
    <t xml:space="preserve">J. Moore (Loss Prev.)</t>
  </si>
  <si>
    <t xml:space="preserve">Mar 28, 2026</t>
  </si>
  <si>
    <t xml:space="preserve">🟢 Monitoring</t>
  </si>
  <si>
    <t xml:space="preserve">MACHINE-READABLE KPI EXTRACT — for weekly_report.py</t>
  </si>
  <si>
    <t xml:space="preserve">kpi_key</t>
  </si>
  <si>
    <t xml:space="preserve">this_week</t>
  </si>
  <si>
    <t xml:space="preserve">last_week</t>
  </si>
  <si>
    <t xml:space="preserve">target</t>
  </si>
  <si>
    <t xml:space="preserve">unit</t>
  </si>
  <si>
    <t xml:space="preserve">revenue_total</t>
  </si>
  <si>
    <t xml:space="preserve">USD</t>
  </si>
  <si>
    <t xml:space="preserve">revenue_online</t>
  </si>
  <si>
    <t xml:space="preserve">avg_transaction_value</t>
  </si>
  <si>
    <t xml:space="preserve">total_transactions</t>
  </si>
  <si>
    <t xml:space="preserve">count</t>
  </si>
  <si>
    <t xml:space="preserve">loyalty_members_active</t>
  </si>
  <si>
    <t xml:space="preserve">loyalty_new_members</t>
  </si>
  <si>
    <t xml:space="preserve">csat_score</t>
  </si>
  <si>
    <t xml:space="preserve">score_out_of_10</t>
  </si>
  <si>
    <t xml:space="preserve">nps</t>
  </si>
  <si>
    <t xml:space="preserve">score</t>
  </si>
  <si>
    <t xml:space="preserve">skus_in_stock</t>
  </si>
  <si>
    <t xml:space="preserve">out_of_stock_rate</t>
  </si>
  <si>
    <t xml:space="preserve">percent</t>
  </si>
  <si>
    <t xml:space="preserve">inventory_turnover_weekly</t>
  </si>
  <si>
    <t xml:space="preserve">turns</t>
  </si>
  <si>
    <t xml:space="preserve">supplier_on_time_pct</t>
  </si>
  <si>
    <t xml:space="preserve">shrinkage_usd</t>
  </si>
  <si>
    <t xml:space="preserve">open_critical_issues</t>
  </si>
  <si>
    <t xml:space="preserve">open_high_issues</t>
  </si>
  <si>
    <t xml:space="preserve">ℹ️  Blue values = current week actuals (inputs your Python script will read)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</si>
</sst>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;\(0.0%\);\-"/>
    <numFmt numFmtId="167" formatCode="#,##0"/>
    <numFmt numFmtId="168" formatCode="0.0"/>
    <numFmt numFmtId="169" formatCode="0.0%"/>
    <numFmt numFmtId="170" formatCode="\+0.0%;\(0.0%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4950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4332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E76F00"/>
      <name val="Arial"/>
      <family val="0"/>
      <charset val="1"/>
    </font>
    <font>
      <b val="true"/>
      <sz val="9"/>
      <color rgb="FF495057"/>
      <name val="Arial"/>
      <family val="0"/>
      <charset val="1"/>
    </font>
    <font>
      <i val="true"/>
      <sz val="8"/>
      <color rgb="FF495057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2D6A4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B85C00"/>
      <name val="Arial"/>
      <family val="0"/>
      <charset val="1"/>
    </font>
    <font>
      <b val="true"/>
      <sz val="9"/>
      <color rgb="FF7A600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56D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4332"/>
        <bgColor rgb="FF1B5E20"/>
      </patternFill>
    </fill>
    <fill>
      <patternFill patternType="solid">
        <fgColor rgb="FFD8F3DC"/>
        <bgColor rgb="FFDEE2E6"/>
      </patternFill>
    </fill>
    <fill>
      <patternFill patternType="solid">
        <fgColor rgb="FF2D6A4F"/>
        <bgColor rgb="FF1B5E20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E76F00"/>
        <bgColor rgb="FFB85C00"/>
      </patternFill>
    </fill>
    <fill>
      <patternFill patternType="solid">
        <fgColor rgb="FFFFF3E0"/>
        <bgColor rgb="FFFFF0E5"/>
      </patternFill>
    </fill>
    <fill>
      <patternFill patternType="solid">
        <fgColor rgb="FF495057"/>
        <bgColor rgb="FF2D6A4F"/>
      </patternFill>
    </fill>
    <fill>
      <patternFill patternType="solid">
        <fgColor rgb="FFDEE2E6"/>
        <bgColor rgb="FFD8F3DC"/>
      </patternFill>
    </fill>
    <fill>
      <patternFill patternType="solid">
        <fgColor rgb="FFFFE5E5"/>
        <bgColor rgb="FFFFF0E5"/>
      </patternFill>
    </fill>
    <fill>
      <patternFill patternType="solid">
        <fgColor rgb="FFFFF0E5"/>
        <bgColor rgb="FFFFF3E0"/>
      </patternFill>
    </fill>
    <fill>
      <patternFill patternType="solid">
        <fgColor rgb="FFFFF9C4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A6000"/>
      <rgbColor rgb="FF800080"/>
      <rgbColor rgb="FF2D6A4F"/>
      <rgbColor rgb="FFC0C0C0"/>
      <rgbColor rgb="FF808080"/>
      <rgbColor rgb="FF9999FF"/>
      <rgbColor rgb="FFB85C00"/>
      <rgbColor rgb="FFFFF9C4"/>
      <rgbColor rgb="FFF8F9FA"/>
      <rgbColor rgb="FF660066"/>
      <rgbColor rgb="FFFF8080"/>
      <rgbColor rgb="FF1A56DB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0E5"/>
      <rgbColor rgb="FFD8F3DC"/>
      <rgbColor rgb="FFFFF3E0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E76F00"/>
      <rgbColor rgb="FF495057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  <col collapsed="false" customWidth="true" hidden="false" outlineLevel="0" max="7" min="7" style="0" width="18"/>
    <col collapsed="false" customWidth="true" hidden="false" outlineLevel="0" max="8" min="8" style="0" width="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19.5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customFormat="false" ht="18" hidden="false" customHeight="true" outlineLevel="0" collapsed="false">
      <c r="B6" s="5" t="s">
        <v>9</v>
      </c>
      <c r="C6" s="6" t="n">
        <v>4287450</v>
      </c>
      <c r="D6" s="7" t="n">
        <v>3921800</v>
      </c>
      <c r="E6" s="7" t="n">
        <v>4100000</v>
      </c>
      <c r="F6" s="8" t="n">
        <f aca="false">(C6-E6)/E6</f>
        <v>0.045719512195122</v>
      </c>
      <c r="G6" s="9" t="n">
        <f aca="false">(C6-D6)/D6</f>
        <v>0.0932352491203019</v>
      </c>
    </row>
    <row r="7" customFormat="false" ht="18" hidden="false" customHeight="true" outlineLevel="0" collapsed="false">
      <c r="B7" s="10" t="s">
        <v>10</v>
      </c>
      <c r="C7" s="11" t="n">
        <v>2941300</v>
      </c>
      <c r="D7" s="12" t="n">
        <v>2710500</v>
      </c>
      <c r="E7" s="12" t="n">
        <v>2800000</v>
      </c>
      <c r="F7" s="13" t="n">
        <f aca="false">(C7-E7)/E7</f>
        <v>0.0504642857142857</v>
      </c>
      <c r="G7" s="14" t="n">
        <f aca="false">(C7-D7)/D7</f>
        <v>0.0851503412654492</v>
      </c>
    </row>
    <row r="8" customFormat="false" ht="18" hidden="false" customHeight="true" outlineLevel="0" collapsed="false">
      <c r="B8" s="5" t="s">
        <v>11</v>
      </c>
      <c r="C8" s="6" t="n">
        <v>892600</v>
      </c>
      <c r="D8" s="7" t="n">
        <v>812400</v>
      </c>
      <c r="E8" s="7" t="n">
        <v>850000</v>
      </c>
      <c r="F8" s="8" t="n">
        <f aca="false">(C8-E8)/E8</f>
        <v>0.0501176470588235</v>
      </c>
      <c r="G8" s="9" t="n">
        <f aca="false">(C8-D8)/D8</f>
        <v>0.0987198424421467</v>
      </c>
    </row>
    <row r="9" customFormat="false" ht="18" hidden="false" customHeight="true" outlineLevel="0" collapsed="false">
      <c r="B9" s="10" t="s">
        <v>12</v>
      </c>
      <c r="C9" s="11" t="n">
        <v>453550</v>
      </c>
      <c r="D9" s="12" t="n">
        <v>398900</v>
      </c>
      <c r="E9" s="12" t="n">
        <v>450000</v>
      </c>
      <c r="F9" s="13" t="n">
        <f aca="false">(C9-E9)/E9</f>
        <v>0.00788888888888889</v>
      </c>
      <c r="G9" s="14" t="n">
        <f aca="false">(C9-D9)/D9</f>
        <v>0.137001754825771</v>
      </c>
    </row>
    <row r="10" customFormat="false" ht="18" hidden="false" customHeight="true" outlineLevel="0" collapsed="false">
      <c r="B10" s="5" t="s">
        <v>13</v>
      </c>
      <c r="C10" s="6" t="n">
        <v>187</v>
      </c>
      <c r="D10" s="7" t="n">
        <v>174</v>
      </c>
      <c r="E10" s="7" t="n">
        <v>180</v>
      </c>
      <c r="F10" s="8" t="n">
        <f aca="false">(C10-E10)/E10</f>
        <v>0.0388888888888889</v>
      </c>
      <c r="G10" s="9" t="n">
        <f aca="false">(C10-D10)/D10</f>
        <v>0.0747126436781609</v>
      </c>
    </row>
    <row r="11" customFormat="false" ht="18" hidden="false" customHeight="true" outlineLevel="0" collapsed="false">
      <c r="B11" s="10" t="s">
        <v>14</v>
      </c>
      <c r="C11" s="15" t="n">
        <v>22928</v>
      </c>
      <c r="D11" s="16" t="n">
        <v>22538</v>
      </c>
      <c r="E11" s="16" t="n">
        <v>22700</v>
      </c>
      <c r="F11" s="13" t="n">
        <f aca="false">(C11-E11)/E11</f>
        <v>0.0100440528634361</v>
      </c>
      <c r="G11" s="14" t="n">
        <f aca="false">(C11-D11)/D11</f>
        <v>0.0173041086165587</v>
      </c>
    </row>
    <row r="13" customFormat="false" ht="21.75" hidden="false" customHeight="true" outlineLevel="0" collapsed="false">
      <c r="B13" s="17" t="s">
        <v>15</v>
      </c>
      <c r="C13" s="17"/>
      <c r="D13" s="17"/>
      <c r="E13" s="17"/>
      <c r="F13" s="17"/>
      <c r="G13" s="17"/>
    </row>
    <row r="14" customFormat="false" ht="19.5" hidden="false" customHeight="true" outlineLevel="0" collapsed="false">
      <c r="B14" s="18" t="s">
        <v>3</v>
      </c>
      <c r="C14" s="18" t="s">
        <v>4</v>
      </c>
      <c r="D14" s="18" t="s">
        <v>5</v>
      </c>
      <c r="E14" s="18" t="s">
        <v>6</v>
      </c>
      <c r="F14" s="18" t="s">
        <v>7</v>
      </c>
      <c r="G14" s="18" t="s">
        <v>8</v>
      </c>
    </row>
    <row r="15" customFormat="false" ht="18" hidden="false" customHeight="true" outlineLevel="0" collapsed="false">
      <c r="B15" s="5" t="s">
        <v>16</v>
      </c>
      <c r="C15" s="19" t="n">
        <v>1284300</v>
      </c>
      <c r="D15" s="20" t="n">
        <v>1271500</v>
      </c>
      <c r="E15" s="20" t="n">
        <v>1300000</v>
      </c>
      <c r="F15" s="8" t="n">
        <f aca="false">(C15-E15)/E15</f>
        <v>-0.0120769230769231</v>
      </c>
      <c r="G15" s="9" t="n">
        <f aca="false">(C15-D15)/D15</f>
        <v>0.0100668501769564</v>
      </c>
    </row>
    <row r="16" customFormat="false" ht="18" hidden="false" customHeight="true" outlineLevel="0" collapsed="false">
      <c r="B16" s="10" t="s">
        <v>17</v>
      </c>
      <c r="C16" s="15" t="n">
        <v>8420</v>
      </c>
      <c r="D16" s="16" t="n">
        <v>7910</v>
      </c>
      <c r="E16" s="16" t="n">
        <v>8000</v>
      </c>
      <c r="F16" s="13" t="n">
        <f aca="false">(C16-E16)/E16</f>
        <v>0.0525</v>
      </c>
      <c r="G16" s="14" t="n">
        <f aca="false">(C16-D16)/D16</f>
        <v>0.0644753476611884</v>
      </c>
    </row>
    <row r="17" customFormat="false" ht="18" hidden="false" customHeight="true" outlineLevel="0" collapsed="false">
      <c r="B17" s="5" t="s">
        <v>18</v>
      </c>
      <c r="C17" s="19" t="n">
        <v>14830</v>
      </c>
      <c r="D17" s="20" t="n">
        <v>13270</v>
      </c>
      <c r="E17" s="20" t="n">
        <v>14000</v>
      </c>
      <c r="F17" s="8" t="n">
        <f aca="false">(C17-E17)/E17</f>
        <v>0.0592857142857143</v>
      </c>
      <c r="G17" s="9" t="n">
        <f aca="false">(C17-D17)/D17</f>
        <v>0.117558402411454</v>
      </c>
    </row>
    <row r="18" customFormat="false" ht="18" hidden="false" customHeight="true" outlineLevel="0" collapsed="false">
      <c r="B18" s="10" t="s">
        <v>19</v>
      </c>
      <c r="C18" s="21" t="n">
        <v>8.3</v>
      </c>
      <c r="D18" s="22" t="n">
        <v>8.1</v>
      </c>
      <c r="E18" s="22" t="n">
        <v>8.5</v>
      </c>
      <c r="F18" s="13" t="n">
        <f aca="false">(C18-E18)/E18</f>
        <v>-0.0235294117647058</v>
      </c>
      <c r="G18" s="14" t="n">
        <f aca="false">(C18-D18)/D18</f>
        <v>0.0246913580246915</v>
      </c>
    </row>
    <row r="19" customFormat="false" ht="18" hidden="false" customHeight="true" outlineLevel="0" collapsed="false">
      <c r="B19" s="5" t="s">
        <v>20</v>
      </c>
      <c r="C19" s="23" t="n">
        <v>62</v>
      </c>
      <c r="D19" s="24" t="n">
        <v>59</v>
      </c>
      <c r="E19" s="24" t="n">
        <v>65</v>
      </c>
      <c r="F19" s="8" t="n">
        <f aca="false">(C19-E19)/E19</f>
        <v>-0.0461538461538462</v>
      </c>
      <c r="G19" s="9" t="n">
        <f aca="false">(C19-D19)/D19</f>
        <v>0.0508474576271187</v>
      </c>
    </row>
    <row r="20" customFormat="false" ht="18" hidden="false" customHeight="true" outlineLevel="0" collapsed="false">
      <c r="B20" s="10" t="s">
        <v>21</v>
      </c>
      <c r="C20" s="25" t="n">
        <v>0.58</v>
      </c>
      <c r="D20" s="26" t="n">
        <v>0.54</v>
      </c>
      <c r="E20" s="26" t="n">
        <v>0.6</v>
      </c>
      <c r="F20" s="13" t="n">
        <f aca="false">(C20-E20)/E20</f>
        <v>-0.0333333333333334</v>
      </c>
      <c r="G20" s="14" t="n">
        <f aca="false">(C20-D20)/D20</f>
        <v>0.0740740740740739</v>
      </c>
    </row>
    <row r="21" customFormat="false" ht="21.75" hidden="false" customHeight="true" outlineLevel="0" collapsed="false">
      <c r="B21" s="27" t="s">
        <v>22</v>
      </c>
      <c r="C21" s="27"/>
      <c r="D21" s="27"/>
      <c r="E21" s="27"/>
      <c r="F21" s="27"/>
      <c r="G21" s="27"/>
    </row>
    <row r="22" customFormat="false" ht="19.5" hidden="false" customHeight="true" outlineLevel="0" collapsed="false">
      <c r="B22" s="28" t="s">
        <v>3</v>
      </c>
      <c r="C22" s="28" t="s">
        <v>4</v>
      </c>
      <c r="D22" s="28" t="s">
        <v>5</v>
      </c>
      <c r="E22" s="28" t="s">
        <v>6</v>
      </c>
      <c r="F22" s="28" t="s">
        <v>7</v>
      </c>
      <c r="G22" s="28" t="s">
        <v>8</v>
      </c>
    </row>
    <row r="23" customFormat="false" ht="18" hidden="false" customHeight="true" outlineLevel="0" collapsed="false">
      <c r="B23" s="5" t="s">
        <v>23</v>
      </c>
      <c r="C23" s="19" t="n">
        <v>48720</v>
      </c>
      <c r="D23" s="20" t="n">
        <v>47300</v>
      </c>
      <c r="E23" s="20" t="n">
        <v>49000</v>
      </c>
      <c r="F23" s="8" t="n">
        <f aca="false">(C23-E23)/E23</f>
        <v>-0.00571428571428571</v>
      </c>
      <c r="G23" s="9" t="n">
        <f aca="false">(C23-D23)/D23</f>
        <v>0.0300211416490486</v>
      </c>
    </row>
    <row r="24" customFormat="false" ht="18" hidden="false" customHeight="true" outlineLevel="0" collapsed="false">
      <c r="B24" s="10" t="s">
        <v>24</v>
      </c>
      <c r="C24" s="25" t="n">
        <v>0.031</v>
      </c>
      <c r="D24" s="26" t="n">
        <v>0.038</v>
      </c>
      <c r="E24" s="26" t="n">
        <v>0.025</v>
      </c>
      <c r="F24" s="13" t="n">
        <f aca="false">(C24-E24)/E24</f>
        <v>0.24</v>
      </c>
      <c r="G24" s="14" t="n">
        <f aca="false">(C24-D24)/D24</f>
        <v>-0.184210526315789</v>
      </c>
    </row>
    <row r="25" customFormat="false" ht="18" hidden="false" customHeight="true" outlineLevel="0" collapsed="false">
      <c r="B25" s="5" t="s">
        <v>25</v>
      </c>
      <c r="C25" s="29" t="n">
        <v>2.4</v>
      </c>
      <c r="D25" s="30" t="n">
        <v>2.2</v>
      </c>
      <c r="E25" s="30" t="n">
        <v>2.5</v>
      </c>
      <c r="F25" s="8" t="n">
        <f aca="false">(C25-E25)/E25</f>
        <v>-0.04</v>
      </c>
      <c r="G25" s="9" t="n">
        <f aca="false">(C25-D25)/D25</f>
        <v>0.0909090909090908</v>
      </c>
    </row>
    <row r="26" customFormat="false" ht="18" hidden="false" customHeight="true" outlineLevel="0" collapsed="false">
      <c r="B26" s="10" t="s">
        <v>26</v>
      </c>
      <c r="C26" s="25" t="n">
        <v>0.921</v>
      </c>
      <c r="D26" s="26" t="n">
        <v>0.908</v>
      </c>
      <c r="E26" s="26" t="n">
        <v>0.95</v>
      </c>
      <c r="F26" s="13" t="n">
        <f aca="false">(C26-E26)/E26</f>
        <v>-0.0305263157894736</v>
      </c>
      <c r="G26" s="14" t="n">
        <f aca="false">(C26-D26)/D26</f>
        <v>0.0143171806167401</v>
      </c>
    </row>
    <row r="27" customFormat="false" ht="18" hidden="false" customHeight="true" outlineLevel="0" collapsed="false">
      <c r="B27" s="5" t="s">
        <v>27</v>
      </c>
      <c r="C27" s="19" t="n">
        <v>312</v>
      </c>
      <c r="D27" s="20" t="n">
        <v>274</v>
      </c>
      <c r="E27" s="20" t="n">
        <v>280</v>
      </c>
      <c r="F27" s="8" t="n">
        <f aca="false">(C27-E27)/E27</f>
        <v>0.114285714285714</v>
      </c>
      <c r="G27" s="9" t="n">
        <f aca="false">(C27-D27)/D27</f>
        <v>0.138686131386861</v>
      </c>
    </row>
    <row r="28" customFormat="false" ht="18" hidden="false" customHeight="true" outlineLevel="0" collapsed="false">
      <c r="B28" s="10" t="s">
        <v>28</v>
      </c>
      <c r="C28" s="11" t="n">
        <v>18400</v>
      </c>
      <c r="D28" s="12" t="n">
        <v>22100</v>
      </c>
      <c r="E28" s="12" t="n">
        <v>15000</v>
      </c>
      <c r="F28" s="13" t="n">
        <f aca="false">(C28-E28)/E28</f>
        <v>0.226666666666667</v>
      </c>
      <c r="G28" s="14" t="n">
        <f aca="false">(C28-D28)/D28</f>
        <v>-0.167420814479638</v>
      </c>
    </row>
    <row r="30" customFormat="false" ht="15.75" hidden="false" customHeight="true" outlineLevel="0" collapsed="false">
      <c r="B30" s="31" t="s">
        <v>29</v>
      </c>
      <c r="C30" s="31"/>
      <c r="D30" s="31"/>
      <c r="E30" s="31"/>
      <c r="F30" s="31"/>
      <c r="G30" s="31"/>
    </row>
  </sheetData>
  <mergeCells count="6">
    <mergeCell ref="A1:H1"/>
    <mergeCell ref="A2:H2"/>
    <mergeCell ref="B4:G4"/>
    <mergeCell ref="B13:G13"/>
    <mergeCell ref="B21:G21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6"/>
    <col collapsed="false" customWidth="true" hidden="false" outlineLevel="0" max="8" min="8" style="0" width="2"/>
  </cols>
  <sheetData>
    <row r="1" customFormat="false" ht="45" hidden="false" customHeight="true" outlineLevel="0" collapsed="false">
      <c r="A1" s="32" t="s">
        <v>30</v>
      </c>
      <c r="B1" s="32"/>
      <c r="C1" s="32"/>
      <c r="D1" s="32"/>
      <c r="E1" s="32"/>
      <c r="F1" s="32"/>
      <c r="G1" s="32"/>
      <c r="H1" s="32"/>
    </row>
    <row r="3" customFormat="false" ht="21.75" hidden="false" customHeight="true" outlineLevel="0" collapsed="false">
      <c r="B3" s="33" t="s">
        <v>31</v>
      </c>
      <c r="C3" s="34" t="s">
        <v>32</v>
      </c>
      <c r="D3" s="34" t="s">
        <v>33</v>
      </c>
      <c r="E3" s="34" t="s">
        <v>34</v>
      </c>
      <c r="F3" s="35" t="s">
        <v>35</v>
      </c>
      <c r="G3" s="34" t="s">
        <v>36</v>
      </c>
    </row>
    <row r="4" customFormat="false" ht="18" hidden="false" customHeight="true" outlineLevel="0" collapsed="false">
      <c r="B4" s="36" t="s">
        <v>37</v>
      </c>
      <c r="C4" s="37"/>
      <c r="D4" s="37"/>
      <c r="E4" s="37"/>
      <c r="F4" s="37"/>
      <c r="G4" s="37"/>
    </row>
    <row r="5" customFormat="false" ht="18" hidden="false" customHeight="true" outlineLevel="0" collapsed="false">
      <c r="B5" s="10" t="s">
        <v>38</v>
      </c>
      <c r="C5" s="38" t="n">
        <v>3712400</v>
      </c>
      <c r="D5" s="38" t="n">
        <v>3834100</v>
      </c>
      <c r="E5" s="38" t="n">
        <v>3921800</v>
      </c>
      <c r="F5" s="39" t="n">
        <v>4287450</v>
      </c>
      <c r="G5" s="40" t="n">
        <f aca="false">(F5-C5)/C5</f>
        <v>0.154899795280681</v>
      </c>
    </row>
    <row r="6" customFormat="false" ht="18" hidden="false" customHeight="true" outlineLevel="0" collapsed="false">
      <c r="B6" s="5" t="s">
        <v>39</v>
      </c>
      <c r="C6" s="41" t="n">
        <v>741200</v>
      </c>
      <c r="D6" s="41" t="n">
        <v>799500</v>
      </c>
      <c r="E6" s="41" t="n">
        <v>812400</v>
      </c>
      <c r="F6" s="42" t="n">
        <v>892600</v>
      </c>
      <c r="G6" s="43" t="n">
        <f aca="false">(F6-C6)/C6</f>
        <v>0.204263356718834</v>
      </c>
    </row>
    <row r="7" customFormat="false" ht="18" hidden="false" customHeight="true" outlineLevel="0" collapsed="false">
      <c r="B7" s="10" t="s">
        <v>40</v>
      </c>
      <c r="C7" s="38" t="n">
        <v>171</v>
      </c>
      <c r="D7" s="38" t="n">
        <v>178</v>
      </c>
      <c r="E7" s="38" t="n">
        <v>174</v>
      </c>
      <c r="F7" s="39" t="n">
        <v>187</v>
      </c>
      <c r="G7" s="40" t="n">
        <f aca="false">(F7-C7)/C7</f>
        <v>0.0935672514619883</v>
      </c>
    </row>
    <row r="8" customFormat="false" ht="18" hidden="false" customHeight="true" outlineLevel="0" collapsed="false">
      <c r="B8" s="36" t="s">
        <v>41</v>
      </c>
      <c r="C8" s="37"/>
      <c r="D8" s="37"/>
      <c r="E8" s="37"/>
      <c r="F8" s="37"/>
      <c r="G8" s="37"/>
    </row>
    <row r="9" customFormat="false" ht="18" hidden="false" customHeight="true" outlineLevel="0" collapsed="false">
      <c r="B9" s="10" t="s">
        <v>42</v>
      </c>
      <c r="C9" s="44" t="n">
        <v>7210</v>
      </c>
      <c r="D9" s="44" t="n">
        <v>7550</v>
      </c>
      <c r="E9" s="44" t="n">
        <v>7910</v>
      </c>
      <c r="F9" s="45" t="n">
        <v>8420</v>
      </c>
      <c r="G9" s="40" t="n">
        <f aca="false">(F9-C9)/C9</f>
        <v>0.167822468793343</v>
      </c>
    </row>
    <row r="10" customFormat="false" ht="18" hidden="false" customHeight="true" outlineLevel="0" collapsed="false">
      <c r="B10" s="5" t="s">
        <v>43</v>
      </c>
      <c r="C10" s="46" t="n">
        <v>8</v>
      </c>
      <c r="D10" s="46" t="n">
        <v>8.2</v>
      </c>
      <c r="E10" s="46" t="n">
        <v>8.1</v>
      </c>
      <c r="F10" s="47" t="n">
        <v>8.3</v>
      </c>
      <c r="G10" s="43" t="n">
        <f aca="false">(F10-C10)/C10</f>
        <v>0.0375000000000001</v>
      </c>
    </row>
    <row r="11" customFormat="false" ht="18" hidden="false" customHeight="true" outlineLevel="0" collapsed="false">
      <c r="B11" s="10" t="s">
        <v>44</v>
      </c>
      <c r="C11" s="44" t="n">
        <v>55</v>
      </c>
      <c r="D11" s="44" t="n">
        <v>57</v>
      </c>
      <c r="E11" s="44" t="n">
        <v>59</v>
      </c>
      <c r="F11" s="45" t="n">
        <v>62</v>
      </c>
      <c r="G11" s="40" t="n">
        <f aca="false">(F11-C11)/C11</f>
        <v>0.127272727272727</v>
      </c>
    </row>
    <row r="12" customFormat="false" ht="18" hidden="false" customHeight="true" outlineLevel="0" collapsed="false">
      <c r="B12" s="36" t="s">
        <v>45</v>
      </c>
      <c r="C12" s="37"/>
      <c r="D12" s="37"/>
      <c r="E12" s="37"/>
      <c r="F12" s="37"/>
      <c r="G12" s="37"/>
    </row>
    <row r="13" customFormat="false" ht="18" hidden="false" customHeight="true" outlineLevel="0" collapsed="false">
      <c r="B13" s="10" t="s">
        <v>46</v>
      </c>
      <c r="C13" s="48" t="n">
        <v>0.964</v>
      </c>
      <c r="D13" s="48" t="n">
        <v>0.961</v>
      </c>
      <c r="E13" s="48" t="n">
        <v>0.962</v>
      </c>
      <c r="F13" s="49" t="n">
        <v>0.969</v>
      </c>
      <c r="G13" s="40" t="n">
        <f aca="false">(F13-C13)/C13</f>
        <v>0.00518672199170125</v>
      </c>
    </row>
    <row r="14" customFormat="false" ht="18" hidden="false" customHeight="true" outlineLevel="0" collapsed="false">
      <c r="B14" s="5" t="s">
        <v>47</v>
      </c>
      <c r="C14" s="50" t="n">
        <v>0.891</v>
      </c>
      <c r="D14" s="50" t="n">
        <v>0.903</v>
      </c>
      <c r="E14" s="50" t="n">
        <v>0.908</v>
      </c>
      <c r="F14" s="51" t="n">
        <v>0.921</v>
      </c>
      <c r="G14" s="43" t="n">
        <f aca="false">(F14-C14)/C14</f>
        <v>0.0336700336700337</v>
      </c>
    </row>
    <row r="15" customFormat="false" ht="18" hidden="false" customHeight="true" outlineLevel="0" collapsed="false">
      <c r="B15" s="10" t="s">
        <v>48</v>
      </c>
      <c r="C15" s="38" t="n">
        <v>24100</v>
      </c>
      <c r="D15" s="38" t="n">
        <v>21800</v>
      </c>
      <c r="E15" s="38" t="n">
        <v>22100</v>
      </c>
      <c r="F15" s="39" t="n">
        <v>18400</v>
      </c>
      <c r="G15" s="40" t="n">
        <f aca="false">(F15-C15)/C15</f>
        <v>-0.236514522821577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2"/>
  </cols>
  <sheetData>
    <row r="1" customFormat="false" ht="45" hidden="false" customHeight="true" outlineLevel="0" collapsed="false">
      <c r="A1" s="32" t="s">
        <v>49</v>
      </c>
      <c r="B1" s="32"/>
      <c r="C1" s="32"/>
      <c r="D1" s="32"/>
      <c r="E1" s="32"/>
      <c r="F1" s="32"/>
      <c r="G1" s="32"/>
      <c r="H1" s="32"/>
    </row>
    <row r="3" customFormat="false" ht="21.75" hidden="false" customHeight="true" outlineLevel="0" collapsed="false">
      <c r="B3" s="35" t="s">
        <v>50</v>
      </c>
      <c r="C3" s="35" t="s">
        <v>51</v>
      </c>
      <c r="D3" s="35" t="s">
        <v>52</v>
      </c>
      <c r="E3" s="35" t="s">
        <v>53</v>
      </c>
      <c r="F3" s="35" t="s">
        <v>54</v>
      </c>
      <c r="G3" s="35" t="s">
        <v>7</v>
      </c>
    </row>
    <row r="4" customFormat="false" ht="18" hidden="false" customHeight="true" outlineLevel="0" collapsed="false">
      <c r="B4" s="5" t="s">
        <v>55</v>
      </c>
      <c r="C4" s="6" t="n">
        <v>812400</v>
      </c>
      <c r="D4" s="20" t="n">
        <v>14230</v>
      </c>
      <c r="E4" s="52" t="n">
        <v>0.412</v>
      </c>
      <c r="F4" s="53" t="n">
        <v>0.082</v>
      </c>
      <c r="G4" s="53" t="n">
        <v>0.091</v>
      </c>
    </row>
    <row r="5" customFormat="false" ht="18" hidden="false" customHeight="true" outlineLevel="0" collapsed="false">
      <c r="B5" s="10" t="s">
        <v>56</v>
      </c>
      <c r="C5" s="11" t="n">
        <v>634100</v>
      </c>
      <c r="D5" s="16" t="n">
        <v>89210</v>
      </c>
      <c r="E5" s="26" t="n">
        <v>0.521</v>
      </c>
      <c r="F5" s="54" t="n">
        <v>0.041</v>
      </c>
      <c r="G5" s="54" t="n">
        <v>-0.012</v>
      </c>
    </row>
    <row r="6" customFormat="false" ht="18" hidden="false" customHeight="true" outlineLevel="0" collapsed="false">
      <c r="B6" s="5" t="s">
        <v>57</v>
      </c>
      <c r="C6" s="6" t="n">
        <v>521800</v>
      </c>
      <c r="D6" s="20" t="n">
        <v>3812</v>
      </c>
      <c r="E6" s="52" t="n">
        <v>0.287</v>
      </c>
      <c r="F6" s="53" t="n">
        <v>-0.023</v>
      </c>
      <c r="G6" s="53" t="n">
        <v>0.018</v>
      </c>
    </row>
    <row r="7" customFormat="false" ht="18" hidden="false" customHeight="true" outlineLevel="0" collapsed="false">
      <c r="B7" s="10" t="s">
        <v>58</v>
      </c>
      <c r="C7" s="11" t="n">
        <v>398200</v>
      </c>
      <c r="D7" s="16" t="n">
        <v>11940</v>
      </c>
      <c r="E7" s="26" t="n">
        <v>0.448</v>
      </c>
      <c r="F7" s="54" t="n">
        <v>0.118</v>
      </c>
      <c r="G7" s="54" t="n">
        <v>0.054</v>
      </c>
    </row>
    <row r="8" customFormat="false" ht="18" hidden="false" customHeight="true" outlineLevel="0" collapsed="false">
      <c r="B8" s="5" t="s">
        <v>59</v>
      </c>
      <c r="C8" s="6" t="n">
        <v>312700</v>
      </c>
      <c r="D8" s="20" t="n">
        <v>5621</v>
      </c>
      <c r="E8" s="52" t="n">
        <v>0.391</v>
      </c>
      <c r="F8" s="53" t="n">
        <v>0.027</v>
      </c>
      <c r="G8" s="53" t="n">
        <v>0.033</v>
      </c>
    </row>
    <row r="9" customFormat="false" ht="18" hidden="false" customHeight="true" outlineLevel="0" collapsed="false">
      <c r="B9" s="10" t="s">
        <v>60</v>
      </c>
      <c r="C9" s="11" t="n">
        <v>287300</v>
      </c>
      <c r="D9" s="16" t="n">
        <v>18400</v>
      </c>
      <c r="E9" s="26" t="n">
        <v>0.462</v>
      </c>
      <c r="F9" s="54" t="n">
        <v>0.071</v>
      </c>
      <c r="G9" s="54" t="n">
        <v>0.041</v>
      </c>
    </row>
    <row r="10" customFormat="false" ht="18" hidden="false" customHeight="true" outlineLevel="0" collapsed="false">
      <c r="B10" s="5" t="s">
        <v>61</v>
      </c>
      <c r="C10" s="6" t="n">
        <v>221500</v>
      </c>
      <c r="D10" s="20" t="n">
        <v>4820</v>
      </c>
      <c r="E10" s="52" t="n">
        <v>0.389</v>
      </c>
      <c r="F10" s="53" t="n">
        <v>-0.041</v>
      </c>
      <c r="G10" s="53" t="n">
        <v>-0.028</v>
      </c>
    </row>
    <row r="11" customFormat="false" ht="18" hidden="false" customHeight="true" outlineLevel="0" collapsed="false">
      <c r="B11" s="10" t="s">
        <v>62</v>
      </c>
      <c r="C11" s="11" t="n">
        <v>198400</v>
      </c>
      <c r="D11" s="16" t="n">
        <v>2940</v>
      </c>
      <c r="E11" s="26" t="n">
        <v>0.371</v>
      </c>
      <c r="F11" s="54" t="n">
        <v>0.094</v>
      </c>
      <c r="G11" s="54" t="n">
        <v>0.112</v>
      </c>
    </row>
    <row r="12" customFormat="false" ht="18" hidden="false" customHeight="true" outlineLevel="0" collapsed="false">
      <c r="B12" s="5" t="s">
        <v>63</v>
      </c>
      <c r="C12" s="6" t="n">
        <v>187200</v>
      </c>
      <c r="D12" s="20" t="n">
        <v>1830</v>
      </c>
      <c r="E12" s="52" t="n">
        <v>0.342</v>
      </c>
      <c r="F12" s="53" t="n">
        <v>0.012</v>
      </c>
      <c r="G12" s="53" t="n">
        <v>-0.019</v>
      </c>
    </row>
    <row r="13" customFormat="false" ht="18" hidden="false" customHeight="true" outlineLevel="0" collapsed="false">
      <c r="B13" s="10" t="s">
        <v>64</v>
      </c>
      <c r="C13" s="11" t="n">
        <v>109850</v>
      </c>
      <c r="D13" s="16"/>
      <c r="E13" s="26"/>
      <c r="F13" s="54" t="n">
        <v>0.033</v>
      </c>
      <c r="G13" s="54"/>
    </row>
    <row r="14" customFormat="false" ht="19.5" hidden="false" customHeight="true" outlineLevel="0" collapsed="false">
      <c r="B14" s="55" t="s">
        <v>65</v>
      </c>
      <c r="C14" s="56" t="n">
        <f aca="false">SUM(C4:C13)</f>
        <v>3683450</v>
      </c>
      <c r="D14" s="57" t="n">
        <f aca="false">SUM(D4:D13)</f>
        <v>152803</v>
      </c>
      <c r="E14" s="58"/>
      <c r="F14" s="58"/>
      <c r="G14" s="5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"/>
  </cols>
  <sheetData>
    <row r="1" customFormat="false" ht="45" hidden="false" customHeight="true" outlineLevel="0" collapsed="false">
      <c r="A1" s="32" t="s">
        <v>66</v>
      </c>
      <c r="B1" s="32"/>
      <c r="C1" s="32"/>
      <c r="D1" s="32"/>
      <c r="E1" s="32"/>
      <c r="F1" s="32"/>
      <c r="G1" s="32"/>
    </row>
    <row r="3" customFormat="false" ht="21.75" hidden="false" customHeight="true" outlineLevel="0" collapsed="false">
      <c r="B3" s="59" t="s">
        <v>67</v>
      </c>
      <c r="C3" s="59" t="s">
        <v>68</v>
      </c>
      <c r="D3" s="59" t="s">
        <v>69</v>
      </c>
      <c r="E3" s="59" t="s">
        <v>70</v>
      </c>
      <c r="F3" s="59" t="s">
        <v>71</v>
      </c>
    </row>
    <row r="4" customFormat="false" ht="39.75" hidden="false" customHeight="true" outlineLevel="0" collapsed="false">
      <c r="B4" s="60" t="s">
        <v>72</v>
      </c>
      <c r="C4" s="61" t="s">
        <v>73</v>
      </c>
      <c r="D4" s="61" t="s">
        <v>74</v>
      </c>
      <c r="E4" s="62" t="s">
        <v>75</v>
      </c>
      <c r="F4" s="63" t="s">
        <v>76</v>
      </c>
    </row>
    <row r="5" customFormat="false" ht="39.75" hidden="false" customHeight="true" outlineLevel="0" collapsed="false">
      <c r="B5" s="64" t="s">
        <v>77</v>
      </c>
      <c r="C5" s="65" t="s">
        <v>78</v>
      </c>
      <c r="D5" s="65" t="s">
        <v>79</v>
      </c>
      <c r="E5" s="66" t="s">
        <v>80</v>
      </c>
      <c r="F5" s="67" t="s">
        <v>81</v>
      </c>
    </row>
    <row r="6" customFormat="false" ht="39.75" hidden="false" customHeight="true" outlineLevel="0" collapsed="false">
      <c r="B6" s="64" t="s">
        <v>82</v>
      </c>
      <c r="C6" s="65" t="s">
        <v>83</v>
      </c>
      <c r="D6" s="65" t="s">
        <v>84</v>
      </c>
      <c r="E6" s="66" t="s">
        <v>85</v>
      </c>
      <c r="F6" s="67" t="s">
        <v>81</v>
      </c>
    </row>
    <row r="7" customFormat="false" ht="39.75" hidden="false" customHeight="true" outlineLevel="0" collapsed="false">
      <c r="B7" s="68" t="s">
        <v>86</v>
      </c>
      <c r="C7" s="69" t="s">
        <v>87</v>
      </c>
      <c r="D7" s="69" t="s">
        <v>88</v>
      </c>
      <c r="E7" s="70" t="s">
        <v>89</v>
      </c>
      <c r="F7" s="71" t="s">
        <v>90</v>
      </c>
    </row>
    <row r="8" customFormat="false" ht="39.75" hidden="false" customHeight="true" outlineLevel="0" collapsed="false">
      <c r="B8" s="68" t="s">
        <v>91</v>
      </c>
      <c r="C8" s="69" t="s">
        <v>92</v>
      </c>
      <c r="D8" s="69" t="s">
        <v>93</v>
      </c>
      <c r="E8" s="70" t="s">
        <v>94</v>
      </c>
      <c r="F8" s="71" t="s">
        <v>90</v>
      </c>
    </row>
    <row r="9" customFormat="false" ht="39.75" hidden="false" customHeight="true" outlineLevel="0" collapsed="false">
      <c r="B9" s="72" t="s">
        <v>95</v>
      </c>
      <c r="C9" s="73" t="s">
        <v>96</v>
      </c>
      <c r="D9" s="73" t="s">
        <v>97</v>
      </c>
      <c r="E9" s="74" t="s">
        <v>98</v>
      </c>
      <c r="F9" s="75" t="s">
        <v>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1" customFormat="false" ht="30" hidden="false" customHeight="true" outlineLevel="0" collapsed="false">
      <c r="A1" s="76" t="s">
        <v>100</v>
      </c>
      <c r="B1" s="76"/>
      <c r="C1" s="76"/>
      <c r="D1" s="76"/>
      <c r="E1" s="76"/>
    </row>
    <row r="2" customFormat="false" ht="15.75" hidden="false" customHeight="true" outlineLevel="0" collapsed="false">
      <c r="A2" s="77" t="s">
        <v>101</v>
      </c>
      <c r="B2" s="78" t="s">
        <v>102</v>
      </c>
      <c r="C2" s="78" t="s">
        <v>103</v>
      </c>
      <c r="D2" s="78" t="s">
        <v>104</v>
      </c>
      <c r="E2" s="78" t="s">
        <v>105</v>
      </c>
    </row>
    <row r="3" customFormat="false" ht="15.75" hidden="false" customHeight="true" outlineLevel="0" collapsed="false">
      <c r="A3" s="79" t="s">
        <v>106</v>
      </c>
      <c r="B3" s="80" t="n">
        <v>4287450</v>
      </c>
      <c r="C3" s="81" t="n">
        <v>3921800</v>
      </c>
      <c r="D3" s="81" t="n">
        <v>4100000</v>
      </c>
      <c r="E3" s="5" t="s">
        <v>107</v>
      </c>
    </row>
    <row r="4" customFormat="false" ht="15.75" hidden="false" customHeight="true" outlineLevel="0" collapsed="false">
      <c r="A4" s="82" t="s">
        <v>108</v>
      </c>
      <c r="B4" s="83" t="n">
        <v>892600</v>
      </c>
      <c r="C4" s="84" t="n">
        <v>812400</v>
      </c>
      <c r="D4" s="84" t="n">
        <v>850000</v>
      </c>
      <c r="E4" s="10" t="s">
        <v>107</v>
      </c>
    </row>
    <row r="5" customFormat="false" ht="15.75" hidden="false" customHeight="true" outlineLevel="0" collapsed="false">
      <c r="A5" s="79" t="s">
        <v>109</v>
      </c>
      <c r="B5" s="80" t="n">
        <v>187</v>
      </c>
      <c r="C5" s="81" t="n">
        <v>174</v>
      </c>
      <c r="D5" s="81" t="n">
        <v>180</v>
      </c>
      <c r="E5" s="5" t="s">
        <v>107</v>
      </c>
    </row>
    <row r="6" customFormat="false" ht="15.75" hidden="false" customHeight="true" outlineLevel="0" collapsed="false">
      <c r="A6" s="82" t="s">
        <v>110</v>
      </c>
      <c r="B6" s="83" t="n">
        <v>22928</v>
      </c>
      <c r="C6" s="84" t="n">
        <v>22538</v>
      </c>
      <c r="D6" s="84" t="n">
        <v>22700</v>
      </c>
      <c r="E6" s="10" t="s">
        <v>111</v>
      </c>
    </row>
    <row r="7" customFormat="false" ht="15.75" hidden="false" customHeight="true" outlineLevel="0" collapsed="false">
      <c r="A7" s="79" t="s">
        <v>112</v>
      </c>
      <c r="B7" s="80" t="n">
        <v>1284300</v>
      </c>
      <c r="C7" s="81" t="n">
        <v>1271500</v>
      </c>
      <c r="D7" s="81" t="n">
        <v>1300000</v>
      </c>
      <c r="E7" s="5" t="s">
        <v>111</v>
      </c>
    </row>
    <row r="8" customFormat="false" ht="15.75" hidden="false" customHeight="true" outlineLevel="0" collapsed="false">
      <c r="A8" s="82" t="s">
        <v>113</v>
      </c>
      <c r="B8" s="83" t="n">
        <v>8420</v>
      </c>
      <c r="C8" s="84" t="n">
        <v>7910</v>
      </c>
      <c r="D8" s="84" t="n">
        <v>8000</v>
      </c>
      <c r="E8" s="10" t="s">
        <v>111</v>
      </c>
    </row>
    <row r="9" customFormat="false" ht="15.75" hidden="false" customHeight="true" outlineLevel="0" collapsed="false">
      <c r="A9" s="79" t="s">
        <v>114</v>
      </c>
      <c r="B9" s="80" t="n">
        <v>8.3</v>
      </c>
      <c r="C9" s="81" t="n">
        <v>8.1</v>
      </c>
      <c r="D9" s="81" t="n">
        <v>8.5</v>
      </c>
      <c r="E9" s="5" t="s">
        <v>115</v>
      </c>
    </row>
    <row r="10" customFormat="false" ht="15.75" hidden="false" customHeight="true" outlineLevel="0" collapsed="false">
      <c r="A10" s="82" t="s">
        <v>116</v>
      </c>
      <c r="B10" s="83" t="n">
        <v>62</v>
      </c>
      <c r="C10" s="84" t="n">
        <v>59</v>
      </c>
      <c r="D10" s="84" t="n">
        <v>65</v>
      </c>
      <c r="E10" s="10" t="s">
        <v>117</v>
      </c>
    </row>
    <row r="11" customFormat="false" ht="15.75" hidden="false" customHeight="true" outlineLevel="0" collapsed="false">
      <c r="A11" s="79" t="s">
        <v>118</v>
      </c>
      <c r="B11" s="80" t="n">
        <v>48720</v>
      </c>
      <c r="C11" s="81" t="n">
        <v>47300</v>
      </c>
      <c r="D11" s="81" t="n">
        <v>49000</v>
      </c>
      <c r="E11" s="5" t="s">
        <v>111</v>
      </c>
    </row>
    <row r="12" customFormat="false" ht="15.75" hidden="false" customHeight="true" outlineLevel="0" collapsed="false">
      <c r="A12" s="82" t="s">
        <v>119</v>
      </c>
      <c r="B12" s="83" t="n">
        <v>0.031</v>
      </c>
      <c r="C12" s="84" t="n">
        <v>0.038</v>
      </c>
      <c r="D12" s="84" t="n">
        <v>0.025</v>
      </c>
      <c r="E12" s="10" t="s">
        <v>120</v>
      </c>
    </row>
    <row r="13" customFormat="false" ht="15.75" hidden="false" customHeight="true" outlineLevel="0" collapsed="false">
      <c r="A13" s="79" t="s">
        <v>121</v>
      </c>
      <c r="B13" s="80" t="n">
        <v>2.4</v>
      </c>
      <c r="C13" s="81" t="n">
        <v>2.2</v>
      </c>
      <c r="D13" s="81" t="n">
        <v>2.5</v>
      </c>
      <c r="E13" s="5" t="s">
        <v>122</v>
      </c>
    </row>
    <row r="14" customFormat="false" ht="15.75" hidden="false" customHeight="true" outlineLevel="0" collapsed="false">
      <c r="A14" s="82" t="s">
        <v>123</v>
      </c>
      <c r="B14" s="83" t="n">
        <v>0.921</v>
      </c>
      <c r="C14" s="84" t="n">
        <v>0.908</v>
      </c>
      <c r="D14" s="84" t="n">
        <v>0.95</v>
      </c>
      <c r="E14" s="10" t="s">
        <v>120</v>
      </c>
    </row>
    <row r="15" customFormat="false" ht="15.75" hidden="false" customHeight="true" outlineLevel="0" collapsed="false">
      <c r="A15" s="79" t="s">
        <v>124</v>
      </c>
      <c r="B15" s="80" t="n">
        <v>18400</v>
      </c>
      <c r="C15" s="81" t="n">
        <v>22100</v>
      </c>
      <c r="D15" s="81" t="n">
        <v>15000</v>
      </c>
      <c r="E15" s="5" t="s">
        <v>107</v>
      </c>
    </row>
    <row r="16" customFormat="false" ht="15.75" hidden="false" customHeight="true" outlineLevel="0" collapsed="false">
      <c r="A16" s="82" t="s">
        <v>125</v>
      </c>
      <c r="B16" s="83" t="n">
        <v>1</v>
      </c>
      <c r="C16" s="84" t="n">
        <v>0</v>
      </c>
      <c r="D16" s="84" t="n">
        <v>0</v>
      </c>
      <c r="E16" s="10" t="s">
        <v>111</v>
      </c>
    </row>
    <row r="17" customFormat="false" ht="15.75" hidden="false" customHeight="true" outlineLevel="0" collapsed="false">
      <c r="A17" s="79" t="s">
        <v>126</v>
      </c>
      <c r="B17" s="80" t="n">
        <v>2</v>
      </c>
      <c r="C17" s="81" t="n">
        <v>1</v>
      </c>
      <c r="D17" s="81" t="n">
        <v>1</v>
      </c>
      <c r="E17" s="5" t="s">
        <v>111</v>
      </c>
    </row>
    <row r="19" customFormat="false" ht="15" hidden="false" customHeight="false" outlineLevel="0" collapsed="false">
      <c r="A19" s="85" t="s">
        <v>127</v>
      </c>
      <c r="B19" s="85"/>
      <c r="C19" s="85"/>
      <c r="D19" s="85"/>
      <c r="E19" s="85"/>
    </row>
  </sheetData>
  <mergeCells count="2">
    <mergeCell ref="A1:E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2026-03-16T21:36:34Z</dcterms:created>
  <dc:creator>openpyxl</dc:creator>
  <dc:description/>
  <dc:language>en-US</dc:language>
  <cp:lastModifiedBy/>
  <dcterms:modified xsi:type="dcterms:W3CDTF">2026-03-16T21:36:34Z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